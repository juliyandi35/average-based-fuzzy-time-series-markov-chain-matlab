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Average Based Fuzzy Time Series Markov Chain\"/>
    </mc:Choice>
  </mc:AlternateContent>
  <xr:revisionPtr revIDLastSave="0" documentId="13_ncr:1_{11616CC9-8058-4250-9E61-23EC0B4A408B}" xr6:coauthVersionLast="47" xr6:coauthVersionMax="47" xr10:uidLastSave="{00000000-0000-0000-0000-000000000000}"/>
  <bookViews>
    <workbookView xWindow="-90" yWindow="0" windowWidth="9780" windowHeight="10170" xr2:uid="{473F4C36-CF40-47BE-A59B-D6D4DB96B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S4" i="1"/>
  <c r="S6" i="1"/>
  <c r="M3" i="1" l="1"/>
  <c r="AB4" i="1"/>
  <c r="AB5" i="1"/>
  <c r="AB6" i="1"/>
  <c r="AB7" i="1"/>
  <c r="AB8" i="1"/>
  <c r="AB9" i="1"/>
  <c r="AA4" i="1"/>
  <c r="AA5" i="1"/>
  <c r="AA6" i="1"/>
  <c r="AA7" i="1"/>
  <c r="AA8" i="1"/>
  <c r="Z4" i="1"/>
  <c r="Z5" i="1"/>
  <c r="Z6" i="1"/>
  <c r="Z7" i="1"/>
  <c r="Y4" i="1"/>
  <c r="Y5" i="1"/>
  <c r="Y6" i="1"/>
  <c r="Z3" i="1"/>
  <c r="AA3" i="1"/>
  <c r="AB3" i="1"/>
  <c r="Y3" i="1"/>
  <c r="V4" i="1"/>
  <c r="V5" i="1"/>
  <c r="V6" i="1"/>
  <c r="V7" i="1"/>
  <c r="V8" i="1"/>
  <c r="V9" i="1"/>
  <c r="U4" i="1"/>
  <c r="U5" i="1"/>
  <c r="U6" i="1"/>
  <c r="U7" i="1"/>
  <c r="U8" i="1"/>
  <c r="T4" i="1"/>
  <c r="T5" i="1"/>
  <c r="T6" i="1"/>
  <c r="T7" i="1"/>
  <c r="S5" i="1"/>
  <c r="T3" i="1"/>
  <c r="U3" i="1"/>
  <c r="V3" i="1"/>
  <c r="S3" i="1"/>
  <c r="P4" i="1"/>
  <c r="P5" i="1"/>
  <c r="P6" i="1"/>
  <c r="P7" i="1"/>
  <c r="P8" i="1"/>
  <c r="P9" i="1"/>
  <c r="O4" i="1"/>
  <c r="O6" i="1"/>
  <c r="O7" i="1"/>
  <c r="O8" i="1"/>
  <c r="N4" i="1"/>
  <c r="N5" i="1"/>
  <c r="N6" i="1"/>
  <c r="N7" i="1"/>
  <c r="N3" i="1"/>
  <c r="O3" i="1"/>
  <c r="P3" i="1"/>
  <c r="M4" i="1"/>
  <c r="M5" i="1"/>
  <c r="M6" i="1"/>
  <c r="O5" i="1"/>
  <c r="U10" i="1" l="1"/>
  <c r="E16" i="1" s="1"/>
  <c r="V10" i="1"/>
  <c r="E17" i="1" s="1"/>
  <c r="T10" i="1"/>
  <c r="E15" i="1" s="1"/>
  <c r="S10" i="1"/>
  <c r="E14" i="1" s="1"/>
  <c r="Y10" i="1"/>
  <c r="F14" i="1" s="1"/>
  <c r="AB10" i="1"/>
  <c r="F17" i="1" s="1"/>
  <c r="P10" i="1"/>
  <c r="P11" i="1" s="1"/>
  <c r="D17" i="1" s="1"/>
  <c r="AA10" i="1"/>
  <c r="F16" i="1" s="1"/>
  <c r="O11" i="1"/>
  <c r="D16" i="1" s="1"/>
  <c r="N10" i="1"/>
  <c r="N11" i="1" s="1"/>
  <c r="D15" i="1" s="1"/>
  <c r="Z10" i="1"/>
  <c r="F15" i="1" s="1"/>
  <c r="M10" i="1"/>
  <c r="M11" i="1" s="1"/>
  <c r="D14" i="1" s="1"/>
</calcChain>
</file>

<file path=xl/sharedStrings.xml><?xml version="1.0" encoding="utf-8"?>
<sst xmlns="http://schemas.openxmlformats.org/spreadsheetml/2006/main" count="35" uniqueCount="14">
  <si>
    <t>Adjustment Forecasting</t>
  </si>
  <si>
    <t>60/40</t>
  </si>
  <si>
    <t>70/30</t>
  </si>
  <si>
    <t>80/20</t>
  </si>
  <si>
    <t>90/10</t>
  </si>
  <si>
    <t>Rata-rata</t>
  </si>
  <si>
    <t>Data asli</t>
  </si>
  <si>
    <t>MAPE</t>
  </si>
  <si>
    <t>MSE</t>
  </si>
  <si>
    <t>MAD</t>
  </si>
  <si>
    <t>Uji Coba Ke</t>
  </si>
  <si>
    <t>Komposisi Data Training</t>
  </si>
  <si>
    <t>Komposisi Data Testing</t>
  </si>
  <si>
    <t xml:space="preserve">MAPE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</si>
</sst>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11" fontId="0" fillId="0" borderId="1" xfId="0" applyNumberFormat="1" applyBorder="1"/>
    <xf numFmtId="0" fontId="0" fillId="0" borderId="0" xfId="0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Sheet1!$B$14:$B$17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</c:numCache>
            </c:numRef>
          </c:xVal>
          <c:yVal>
            <c:numRef>
              <c:f>Sheet1!$D$14:$D$17</c:f>
              <c:numCache>
                <c:formatCode>0.00%</c:formatCode>
                <c:ptCount val="4"/>
                <c:pt idx="0">
                  <c:v>3.8439475712878937E-2</c:v>
                </c:pt>
                <c:pt idx="1">
                  <c:v>3.7346089727812087E-2</c:v>
                </c:pt>
                <c:pt idx="2">
                  <c:v>2.2173985657554771E-2</c:v>
                </c:pt>
                <c:pt idx="3">
                  <c:v>3.4594590673687246E-2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F3-45F2-8975-F7021A479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985744"/>
        <c:axId val="2130560736"/>
      </c:scatterChart>
      <c:valAx>
        <c:axId val="74298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Kompisisi Data</a:t>
                </a:r>
                <a:r>
                  <a:rPr lang="id-ID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60736"/>
        <c:crosses val="autoZero"/>
        <c:crossBetween val="midCat"/>
      </c:valAx>
      <c:valAx>
        <c:axId val="21305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8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Sheet1!$B$14:$B$17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</c:numCache>
            </c:numRef>
          </c:xVal>
          <c:yVal>
            <c:numRef>
              <c:f>Sheet1!$E$14:$E$17</c:f>
              <c:numCache>
                <c:formatCode>0.00E+00</c:formatCode>
                <c:ptCount val="4"/>
                <c:pt idx="0">
                  <c:v>1227335925000000</c:v>
                </c:pt>
                <c:pt idx="1">
                  <c:v>1068116660000000</c:v>
                </c:pt>
                <c:pt idx="2" formatCode="General">
                  <c:v>419041520833333.31</c:v>
                </c:pt>
                <c:pt idx="3" formatCode="General">
                  <c:v>1012571428571428.6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F-44C7-8AF2-2BE0A70CE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719344"/>
        <c:axId val="591829088"/>
      </c:scatterChart>
      <c:valAx>
        <c:axId val="59471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Komposisi Data</a:t>
                </a:r>
                <a:r>
                  <a:rPr lang="id-ID"/>
                  <a:t> </a:t>
                </a:r>
                <a:r>
                  <a:rPr lang="id-ID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29088"/>
        <c:crosses val="autoZero"/>
        <c:crossBetween val="midCat"/>
      </c:valAx>
      <c:valAx>
        <c:axId val="5918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1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Sheet1!$B$14:$B$17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</c:numCache>
            </c:numRef>
          </c:xVal>
          <c:yVal>
            <c:numRef>
              <c:f>Sheet1!$F$14:$F$17</c:f>
              <c:numCache>
                <c:formatCode>General</c:formatCode>
                <c:ptCount val="4"/>
                <c:pt idx="0">
                  <c:v>22767500</c:v>
                </c:pt>
                <c:pt idx="1">
                  <c:v>22358000</c:v>
                </c:pt>
                <c:pt idx="2">
                  <c:v>14972500</c:v>
                </c:pt>
                <c:pt idx="3">
                  <c:v>22571428.571428571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8-4E95-A4FB-3F1CE3C48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712624"/>
        <c:axId val="591816192"/>
      </c:scatterChart>
      <c:valAx>
        <c:axId val="59471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Kompisisi Data</a:t>
                </a:r>
                <a:r>
                  <a:rPr lang="id-ID"/>
                  <a:t> </a:t>
                </a:r>
                <a:r>
                  <a:rPr lang="id-ID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16192"/>
        <c:crosses val="autoZero"/>
        <c:crossBetween val="midCat"/>
      </c:valAx>
      <c:valAx>
        <c:axId val="5918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</a:t>
                </a:r>
                <a:r>
                  <a:rPr lang="id-ID"/>
                  <a:t>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1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Adjustment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Sheet1!$D$3:$D$9</c:f>
              <c:numCache>
                <c:formatCode>0.00E+00</c:formatCode>
                <c:ptCount val="7"/>
                <c:pt idx="0">
                  <c:v>552000000</c:v>
                </c:pt>
                <c:pt idx="1">
                  <c:v>583000000</c:v>
                </c:pt>
                <c:pt idx="2">
                  <c:v>583000000</c:v>
                </c:pt>
                <c:pt idx="3">
                  <c:v>696000000</c:v>
                </c:pt>
                <c:pt idx="4">
                  <c:v>700000000</c:v>
                </c:pt>
                <c:pt idx="5">
                  <c:v>783000000</c:v>
                </c:pt>
                <c:pt idx="6">
                  <c:v>812000000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55-430F-A455-AE0EAB3BCBC7}"/>
            </c:ext>
          </c:extLst>
        </c:ser>
        <c:ser>
          <c:idx val="1"/>
          <c:order val="1"/>
          <c:tx>
            <c:v>Forecast 60:40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Sheet1!$G$3:$G$6</c:f>
              <c:numCache>
                <c:formatCode>0.00E+00</c:formatCode>
                <c:ptCount val="4"/>
                <c:pt idx="0">
                  <c:v>551710000</c:v>
                </c:pt>
                <c:pt idx="1">
                  <c:v>596770000</c:v>
                </c:pt>
                <c:pt idx="2">
                  <c:v>650830000</c:v>
                </c:pt>
                <c:pt idx="3">
                  <c:v>704890000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55-430F-A455-AE0EAB3BCBC7}"/>
            </c:ext>
          </c:extLst>
        </c:ser>
        <c:ser>
          <c:idx val="2"/>
          <c:order val="2"/>
          <c:tx>
            <c:v>Forecast 70:30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Sheet1!$H$3:$H$7</c:f>
              <c:numCache>
                <c:formatCode>0.00E+00</c:formatCode>
                <c:ptCount val="5"/>
                <c:pt idx="0">
                  <c:v>551710000</c:v>
                </c:pt>
                <c:pt idx="1">
                  <c:v>611190000</c:v>
                </c:pt>
                <c:pt idx="2">
                  <c:v>648370000</c:v>
                </c:pt>
                <c:pt idx="3">
                  <c:v>692980000</c:v>
                </c:pt>
                <c:pt idx="4">
                  <c:v>715290000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55-430F-A455-AE0EAB3BCBC7}"/>
            </c:ext>
          </c:extLst>
        </c:ser>
        <c:ser>
          <c:idx val="3"/>
          <c:order val="3"/>
          <c:tx>
            <c:v>Forecast 80:20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Sheet1!$I$3:$I$8</c:f>
              <c:numCache>
                <c:formatCode>0.00E+00</c:formatCode>
                <c:ptCount val="6"/>
                <c:pt idx="0">
                  <c:v>551710000</c:v>
                </c:pt>
                <c:pt idx="1">
                  <c:v>599920000</c:v>
                </c:pt>
                <c:pt idx="2">
                  <c:v>648130000</c:v>
                </c:pt>
                <c:pt idx="3">
                  <c:v>705990000</c:v>
                </c:pt>
                <c:pt idx="4">
                  <c:v>744550000</c:v>
                </c:pt>
                <c:pt idx="5">
                  <c:v>773480000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55-430F-A455-AE0EAB3BCBC7}"/>
            </c:ext>
          </c:extLst>
        </c:ser>
        <c:ser>
          <c:idx val="4"/>
          <c:order val="4"/>
          <c:tx>
            <c:v>Forecast 90:10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Sheet1!$J$3:$J$9</c:f>
              <c:numCache>
                <c:formatCode>0.00E+00</c:formatCode>
                <c:ptCount val="7"/>
                <c:pt idx="0">
                  <c:v>552000000</c:v>
                </c:pt>
                <c:pt idx="1">
                  <c:v>598000000</c:v>
                </c:pt>
                <c:pt idx="2">
                  <c:v>645000000</c:v>
                </c:pt>
                <c:pt idx="3">
                  <c:v>701000000</c:v>
                </c:pt>
                <c:pt idx="4">
                  <c:v>747000000</c:v>
                </c:pt>
                <c:pt idx="5">
                  <c:v>784000000</c:v>
                </c:pt>
                <c:pt idx="6">
                  <c:v>840000000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55-430F-A455-AE0EAB3BC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722224"/>
        <c:axId val="2072526032"/>
      </c:scatterChart>
      <c:valAx>
        <c:axId val="59472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6032"/>
        <c:crosses val="autoZero"/>
        <c:crossBetween val="midCat"/>
      </c:valAx>
      <c:valAx>
        <c:axId val="20725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2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180975</xdr:rowOff>
    </xdr:from>
    <xdr:to>
      <xdr:col>6</xdr:col>
      <xdr:colOff>260350</xdr:colOff>
      <xdr:row>32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51E71-8AE1-7D0B-D9D2-D387A7513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479425</xdr:colOff>
      <xdr:row>17</xdr:row>
      <xdr:rowOff>161925</xdr:rowOff>
    </xdr:from>
    <xdr:to>
      <xdr:col>13</xdr:col>
      <xdr:colOff>352425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644A11-F705-22C9-8A01-D4E0A2597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517525</xdr:colOff>
      <xdr:row>17</xdr:row>
      <xdr:rowOff>174625</xdr:rowOff>
    </xdr:from>
    <xdr:to>
      <xdr:col>21</xdr:col>
      <xdr:colOff>212725</xdr:colOff>
      <xdr:row>32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4D28E4-B1E4-EB1C-E19B-30056FD3B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22225</xdr:colOff>
      <xdr:row>18</xdr:row>
      <xdr:rowOff>9525</xdr:rowOff>
    </xdr:from>
    <xdr:to>
      <xdr:col>28</xdr:col>
      <xdr:colOff>142875</xdr:colOff>
      <xdr:row>32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84E3AC-3840-35E9-13A1-F6C9FBB2A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D357-D71C-4639-AE33-091A3A3CF7B2}">
  <dimension ref="A1:AB17"/>
  <sheetViews>
    <sheetView tabSelected="1" workbookViewId="0">
      <selection activeCell="E8" sqref="E8"/>
    </sheetView>
  </sheetViews>
  <sheetFormatPr defaultRowHeight="14.5" x14ac:dyDescent="0.35"/>
  <cols>
    <col min="2" max="2" width="8.90625" bestFit="1" customWidth="1"/>
    <col min="3" max="3" width="11.81640625" bestFit="1" customWidth="1"/>
    <col min="4" max="4" width="10.81640625" bestFit="1" customWidth="1"/>
    <col min="5" max="6" width="10.81640625" customWidth="1"/>
    <col min="7" max="8" width="11.81640625" bestFit="1" customWidth="1"/>
    <col min="13" max="13" width="12.26953125" customWidth="1"/>
    <col min="25" max="25" width="11.81640625" bestFit="1" customWidth="1"/>
    <col min="26" max="26" width="10.81640625" bestFit="1" customWidth="1"/>
    <col min="27" max="28" width="11.81640625" bestFit="1" customWidth="1"/>
  </cols>
  <sheetData>
    <row r="1" spans="1:28" x14ac:dyDescent="0.35">
      <c r="A1" s="6" t="s">
        <v>6</v>
      </c>
      <c r="B1" s="6"/>
      <c r="C1" s="6"/>
      <c r="D1" s="6"/>
      <c r="F1" s="6" t="s">
        <v>0</v>
      </c>
      <c r="G1" s="6"/>
      <c r="H1" s="6"/>
      <c r="I1" s="6"/>
      <c r="J1" s="6"/>
      <c r="L1" s="6" t="s">
        <v>7</v>
      </c>
      <c r="M1" s="6"/>
      <c r="N1" s="6"/>
      <c r="O1" s="6"/>
      <c r="P1" s="6"/>
      <c r="R1" s="6" t="s">
        <v>8</v>
      </c>
      <c r="S1" s="6"/>
      <c r="T1" s="6"/>
      <c r="U1" s="6"/>
      <c r="V1" s="6"/>
      <c r="X1" s="6" t="s">
        <v>9</v>
      </c>
      <c r="Y1" s="6"/>
      <c r="Z1" s="6"/>
      <c r="AA1" s="6"/>
      <c r="AB1" s="6"/>
    </row>
    <row r="2" spans="1:28" x14ac:dyDescent="0.35">
      <c r="A2" t="s">
        <v>1</v>
      </c>
      <c r="B2" t="s">
        <v>2</v>
      </c>
      <c r="C2" t="s">
        <v>3</v>
      </c>
      <c r="D2" t="s">
        <v>4</v>
      </c>
      <c r="G2" t="s">
        <v>1</v>
      </c>
      <c r="H2" t="s">
        <v>2</v>
      </c>
      <c r="I2" t="s">
        <v>3</v>
      </c>
      <c r="J2" t="s">
        <v>4</v>
      </c>
      <c r="M2" t="s">
        <v>1</v>
      </c>
      <c r="N2" t="s">
        <v>2</v>
      </c>
      <c r="O2" t="s">
        <v>3</v>
      </c>
      <c r="P2" t="s">
        <v>4</v>
      </c>
      <c r="S2" t="s">
        <v>1</v>
      </c>
      <c r="T2" t="s">
        <v>2</v>
      </c>
      <c r="U2" t="s">
        <v>3</v>
      </c>
      <c r="V2" t="s">
        <v>4</v>
      </c>
      <c r="Y2" t="s">
        <v>1</v>
      </c>
      <c r="Z2" t="s">
        <v>2</v>
      </c>
      <c r="AA2" t="s">
        <v>3</v>
      </c>
      <c r="AB2" t="s">
        <v>4</v>
      </c>
    </row>
    <row r="3" spans="1:28" x14ac:dyDescent="0.35">
      <c r="A3" s="1">
        <v>551710000</v>
      </c>
      <c r="B3" s="1">
        <v>551710000</v>
      </c>
      <c r="C3" s="1">
        <v>551710000</v>
      </c>
      <c r="D3" s="1">
        <v>552000000</v>
      </c>
      <c r="E3" s="1"/>
      <c r="G3" s="1">
        <v>551710000</v>
      </c>
      <c r="H3" s="1">
        <v>551710000</v>
      </c>
      <c r="I3" s="1">
        <v>551710000</v>
      </c>
      <c r="J3" s="1">
        <v>552000000</v>
      </c>
      <c r="K3" s="1"/>
      <c r="M3">
        <f>ABS((A3-G3)/A3)</f>
        <v>0</v>
      </c>
      <c r="N3">
        <f t="shared" ref="N3:P9" si="0">ABS((B3-H3)/B3)</f>
        <v>0</v>
      </c>
      <c r="O3">
        <f t="shared" si="0"/>
        <v>0</v>
      </c>
      <c r="P3">
        <f t="shared" si="0"/>
        <v>0</v>
      </c>
      <c r="S3" s="1">
        <f>(A3-G3)^2</f>
        <v>0</v>
      </c>
      <c r="T3" s="1">
        <f t="shared" ref="T3:V9" si="1">(B3-H3)^2</f>
        <v>0</v>
      </c>
      <c r="U3" s="1">
        <f t="shared" si="1"/>
        <v>0</v>
      </c>
      <c r="V3" s="1">
        <f t="shared" si="1"/>
        <v>0</v>
      </c>
      <c r="Y3">
        <f>ABS(A3-G3)</f>
        <v>0</v>
      </c>
      <c r="Z3">
        <f t="shared" ref="Z3:AB9" si="2">ABS(B3-H3)</f>
        <v>0</v>
      </c>
      <c r="AA3">
        <f t="shared" si="2"/>
        <v>0</v>
      </c>
      <c r="AB3">
        <f t="shared" si="2"/>
        <v>0</v>
      </c>
    </row>
    <row r="4" spans="1:28" x14ac:dyDescent="0.35">
      <c r="A4" s="1">
        <v>582770000</v>
      </c>
      <c r="B4" s="1">
        <v>582770000</v>
      </c>
      <c r="C4" s="1">
        <v>582770000</v>
      </c>
      <c r="D4" s="1">
        <v>583000000</v>
      </c>
      <c r="E4" s="1"/>
      <c r="G4" s="1">
        <v>596770000</v>
      </c>
      <c r="H4" s="1">
        <v>611190000</v>
      </c>
      <c r="I4" s="1">
        <v>599920000</v>
      </c>
      <c r="J4" s="1">
        <v>598000000</v>
      </c>
      <c r="K4" s="1"/>
      <c r="M4">
        <f t="shared" ref="M4:M6" si="3">ABS((A4-G4)/A4)</f>
        <v>2.4023199546991093E-2</v>
      </c>
      <c r="N4">
        <f t="shared" si="0"/>
        <v>4.8767095080391919E-2</v>
      </c>
      <c r="O4">
        <f t="shared" si="0"/>
        <v>2.9428419445064091E-2</v>
      </c>
      <c r="P4">
        <f t="shared" si="0"/>
        <v>2.5728987993138937E-2</v>
      </c>
      <c r="S4" s="1">
        <f>(A4-G4)^2</f>
        <v>196000000000000</v>
      </c>
      <c r="T4" s="1">
        <f t="shared" si="1"/>
        <v>807696400000000</v>
      </c>
      <c r="U4" s="1">
        <f t="shared" si="1"/>
        <v>294122500000000</v>
      </c>
      <c r="V4" s="1">
        <f t="shared" si="1"/>
        <v>225000000000000</v>
      </c>
      <c r="Y4">
        <f t="shared" ref="Y4:Y6" si="4">ABS(A4-G4)</f>
        <v>14000000</v>
      </c>
      <c r="Z4">
        <f t="shared" si="2"/>
        <v>28420000</v>
      </c>
      <c r="AA4">
        <f t="shared" si="2"/>
        <v>17150000</v>
      </c>
      <c r="AB4">
        <f t="shared" si="2"/>
        <v>15000000</v>
      </c>
    </row>
    <row r="5" spans="1:28" x14ac:dyDescent="0.35">
      <c r="A5" s="1">
        <v>582770000</v>
      </c>
      <c r="B5" s="1">
        <v>582770000</v>
      </c>
      <c r="C5" s="1">
        <v>639325000</v>
      </c>
      <c r="D5" s="1">
        <v>583000000</v>
      </c>
      <c r="E5" s="1"/>
      <c r="G5" s="1">
        <v>650830000</v>
      </c>
      <c r="H5" s="1">
        <v>648370000</v>
      </c>
      <c r="I5" s="1">
        <v>648130000</v>
      </c>
      <c r="J5" s="1">
        <v>645000000</v>
      </c>
      <c r="K5" s="1"/>
      <c r="M5">
        <f t="shared" si="3"/>
        <v>0.11678706865487241</v>
      </c>
      <c r="N5">
        <f t="shared" si="0"/>
        <v>0.11256584930590113</v>
      </c>
      <c r="O5">
        <f>ABS((C5-I5)/C5)</f>
        <v>1.377233801274782E-2</v>
      </c>
      <c r="P5">
        <f t="shared" si="0"/>
        <v>0.10634648370497427</v>
      </c>
      <c r="S5" s="1">
        <f t="shared" ref="S4:S6" si="5">(A5-G5)^2</f>
        <v>4632163600000000</v>
      </c>
      <c r="T5" s="1">
        <f t="shared" si="1"/>
        <v>4303360000000000</v>
      </c>
      <c r="U5" s="1">
        <f t="shared" si="1"/>
        <v>77528025000000</v>
      </c>
      <c r="V5" s="1">
        <f t="shared" si="1"/>
        <v>3844000000000000</v>
      </c>
      <c r="Y5">
        <f t="shared" si="4"/>
        <v>68060000</v>
      </c>
      <c r="Z5">
        <f t="shared" si="2"/>
        <v>65600000</v>
      </c>
      <c r="AA5">
        <f t="shared" si="2"/>
        <v>8805000</v>
      </c>
      <c r="AB5">
        <f t="shared" si="2"/>
        <v>62000000</v>
      </c>
    </row>
    <row r="6" spans="1:28" x14ac:dyDescent="0.35">
      <c r="A6" s="1">
        <v>695880000</v>
      </c>
      <c r="B6" s="1">
        <v>695880000</v>
      </c>
      <c r="C6" s="1">
        <v>695880000</v>
      </c>
      <c r="D6" s="1">
        <v>696000000</v>
      </c>
      <c r="E6" s="1"/>
      <c r="G6" s="1">
        <v>704890000</v>
      </c>
      <c r="H6" s="1">
        <v>692980000</v>
      </c>
      <c r="I6" s="1">
        <v>705990000</v>
      </c>
      <c r="J6" s="1">
        <v>701000000</v>
      </c>
      <c r="K6" s="1"/>
      <c r="M6">
        <f t="shared" si="3"/>
        <v>1.294763464965224E-2</v>
      </c>
      <c r="N6">
        <f t="shared" si="0"/>
        <v>4.167385181353107E-3</v>
      </c>
      <c r="O6">
        <f t="shared" si="0"/>
        <v>1.4528366959820658E-2</v>
      </c>
      <c r="P6">
        <f t="shared" si="0"/>
        <v>7.1839080459770114E-3</v>
      </c>
      <c r="S6" s="1">
        <f>(A6-G6)^2</f>
        <v>81180100000000</v>
      </c>
      <c r="T6" s="1">
        <f t="shared" si="1"/>
        <v>8410000000000</v>
      </c>
      <c r="U6" s="1">
        <f t="shared" si="1"/>
        <v>102212100000000</v>
      </c>
      <c r="V6" s="1">
        <f t="shared" si="1"/>
        <v>25000000000000</v>
      </c>
      <c r="Y6">
        <f t="shared" si="4"/>
        <v>9010000</v>
      </c>
      <c r="Z6">
        <f t="shared" si="2"/>
        <v>2900000</v>
      </c>
      <c r="AA6">
        <f t="shared" si="2"/>
        <v>10110000</v>
      </c>
      <c r="AB6">
        <f t="shared" si="2"/>
        <v>5000000</v>
      </c>
    </row>
    <row r="7" spans="1:28" x14ac:dyDescent="0.35">
      <c r="B7" s="1">
        <v>700420000</v>
      </c>
      <c r="C7" s="1">
        <v>700420000</v>
      </c>
      <c r="D7" s="1">
        <v>700000000</v>
      </c>
      <c r="E7" s="1"/>
      <c r="H7" s="1">
        <v>715290000</v>
      </c>
      <c r="I7" s="1">
        <v>744550000</v>
      </c>
      <c r="J7" s="1">
        <v>747000000</v>
      </c>
      <c r="K7" s="1"/>
      <c r="N7">
        <f t="shared" si="0"/>
        <v>2.1230119071414293E-2</v>
      </c>
      <c r="O7">
        <f t="shared" si="0"/>
        <v>6.300505411039091E-2</v>
      </c>
      <c r="P7">
        <f t="shared" si="0"/>
        <v>6.7142857142857143E-2</v>
      </c>
      <c r="T7" s="1">
        <f t="shared" si="1"/>
        <v>221116900000000</v>
      </c>
      <c r="U7" s="1">
        <f t="shared" si="1"/>
        <v>1947456900000000</v>
      </c>
      <c r="V7" s="1">
        <f t="shared" si="1"/>
        <v>2209000000000000</v>
      </c>
      <c r="Z7">
        <f t="shared" si="2"/>
        <v>14870000</v>
      </c>
      <c r="AA7">
        <f t="shared" si="2"/>
        <v>44130000</v>
      </c>
      <c r="AB7">
        <f t="shared" si="2"/>
        <v>47000000</v>
      </c>
    </row>
    <row r="8" spans="1:28" x14ac:dyDescent="0.35">
      <c r="C8" s="1">
        <v>783120000</v>
      </c>
      <c r="D8" s="1">
        <v>783000000</v>
      </c>
      <c r="E8" s="1"/>
      <c r="I8" s="1">
        <v>773480000</v>
      </c>
      <c r="J8" s="1">
        <v>784000000</v>
      </c>
      <c r="K8" s="1"/>
      <c r="O8">
        <f t="shared" si="0"/>
        <v>1.2309735417305139E-2</v>
      </c>
      <c r="P8">
        <f t="shared" si="0"/>
        <v>1.277139208173691E-3</v>
      </c>
      <c r="U8" s="1">
        <f t="shared" si="1"/>
        <v>92929600000000</v>
      </c>
      <c r="V8" s="1">
        <f t="shared" si="1"/>
        <v>1000000000000</v>
      </c>
      <c r="AA8">
        <f t="shared" si="2"/>
        <v>9640000</v>
      </c>
      <c r="AB8">
        <f t="shared" si="2"/>
        <v>1000000</v>
      </c>
    </row>
    <row r="9" spans="1:28" x14ac:dyDescent="0.35">
      <c r="D9" s="1">
        <v>812000000</v>
      </c>
      <c r="E9" s="1"/>
      <c r="J9" s="1">
        <v>840000000</v>
      </c>
      <c r="K9" s="1"/>
      <c r="P9">
        <f t="shared" si="0"/>
        <v>3.4482758620689655E-2</v>
      </c>
      <c r="V9" s="1">
        <f t="shared" si="1"/>
        <v>784000000000000</v>
      </c>
      <c r="AB9">
        <f t="shared" si="2"/>
        <v>28000000</v>
      </c>
    </row>
    <row r="10" spans="1:28" x14ac:dyDescent="0.35">
      <c r="B10" s="1"/>
      <c r="L10" t="s">
        <v>5</v>
      </c>
      <c r="M10" s="7">
        <f>AVERAGE(M3:M6)</f>
        <v>3.8439475712878937E-2</v>
      </c>
      <c r="N10">
        <f>AVERAGE(N3:N7)</f>
        <v>3.7346089727812087E-2</v>
      </c>
      <c r="O10">
        <f>AVERAGE(O3:O8)</f>
        <v>2.2173985657554771E-2</v>
      </c>
      <c r="P10">
        <f>AVERAGE(P3:P9)</f>
        <v>3.4594590673687246E-2</v>
      </c>
      <c r="R10" t="s">
        <v>8</v>
      </c>
      <c r="S10" s="1">
        <f>AVERAGE(S3:S6)</f>
        <v>1227335925000000</v>
      </c>
      <c r="T10" s="1">
        <f>AVERAGE(T3:T7)</f>
        <v>1068116660000000</v>
      </c>
      <c r="U10" s="1">
        <f>AVERAGE(U3:U8)</f>
        <v>419041520833333.31</v>
      </c>
      <c r="V10">
        <f>AVERAGE(V3:V9)</f>
        <v>1012571428571428.6</v>
      </c>
      <c r="X10" t="s">
        <v>5</v>
      </c>
      <c r="Y10">
        <f>AVERAGE(Y3:Y6)</f>
        <v>22767500</v>
      </c>
      <c r="Z10">
        <f>AVERAGE(Z3:Z7)</f>
        <v>22358000</v>
      </c>
      <c r="AA10">
        <f>AVERAGE(AA3:AA8)</f>
        <v>14972500</v>
      </c>
      <c r="AB10">
        <f>AVERAGE(AB3:AB9)</f>
        <v>22571428.571428571</v>
      </c>
    </row>
    <row r="11" spans="1:28" x14ac:dyDescent="0.35">
      <c r="C11" s="1"/>
      <c r="L11" t="s">
        <v>7</v>
      </c>
      <c r="M11" s="2">
        <f>M10</f>
        <v>3.8439475712878937E-2</v>
      </c>
      <c r="N11" s="2">
        <f t="shared" ref="N11:P11" si="6">N10</f>
        <v>3.7346089727812087E-2</v>
      </c>
      <c r="O11" s="2">
        <f t="shared" si="6"/>
        <v>2.2173985657554771E-2</v>
      </c>
      <c r="P11" s="2">
        <f t="shared" si="6"/>
        <v>3.4594590673687246E-2</v>
      </c>
    </row>
    <row r="13" spans="1:28" x14ac:dyDescent="0.35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8</v>
      </c>
      <c r="F13" s="3" t="s">
        <v>9</v>
      </c>
    </row>
    <row r="14" spans="1:28" x14ac:dyDescent="0.35">
      <c r="A14" s="3">
        <v>1</v>
      </c>
      <c r="B14" s="3">
        <v>60</v>
      </c>
      <c r="C14" s="3">
        <v>40</v>
      </c>
      <c r="D14" s="4">
        <f>M11</f>
        <v>3.8439475712878937E-2</v>
      </c>
      <c r="E14" s="5">
        <f>S10</f>
        <v>1227335925000000</v>
      </c>
      <c r="F14" s="3">
        <f>Y10</f>
        <v>22767500</v>
      </c>
    </row>
    <row r="15" spans="1:28" x14ac:dyDescent="0.35">
      <c r="A15" s="3">
        <v>2</v>
      </c>
      <c r="B15" s="3">
        <v>70</v>
      </c>
      <c r="C15" s="3">
        <v>30</v>
      </c>
      <c r="D15" s="4">
        <f>N11</f>
        <v>3.7346089727812087E-2</v>
      </c>
      <c r="E15" s="5">
        <f>T10</f>
        <v>1068116660000000</v>
      </c>
      <c r="F15" s="3">
        <f>Z10</f>
        <v>22358000</v>
      </c>
    </row>
    <row r="16" spans="1:28" x14ac:dyDescent="0.35">
      <c r="A16" s="3">
        <v>3</v>
      </c>
      <c r="B16" s="3">
        <v>80</v>
      </c>
      <c r="C16" s="3">
        <v>20</v>
      </c>
      <c r="D16" s="4">
        <f>O11</f>
        <v>2.2173985657554771E-2</v>
      </c>
      <c r="E16" s="3">
        <f>U10</f>
        <v>419041520833333.31</v>
      </c>
      <c r="F16" s="3">
        <f>AA10</f>
        <v>14972500</v>
      </c>
    </row>
    <row r="17" spans="1:6" x14ac:dyDescent="0.35">
      <c r="A17" s="3">
        <v>4</v>
      </c>
      <c r="B17" s="3">
        <v>90</v>
      </c>
      <c r="C17" s="3">
        <v>10</v>
      </c>
      <c r="D17" s="4">
        <f>P11</f>
        <v>3.4594590673687246E-2</v>
      </c>
      <c r="E17" s="3">
        <f>V10</f>
        <v>1012571428571428.6</v>
      </c>
      <c r="F17" s="3">
        <f>AB10</f>
        <v>22571428.571428571</v>
      </c>
    </row>
  </sheetData>
  <mergeCells count="5">
    <mergeCell ref="X1:AB1"/>
    <mergeCell ref="R1:V1"/>
    <mergeCell ref="L1:P1"/>
    <mergeCell ref="F1:J1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2023-10-27T13:05:03Z</dcterms:created>
  <dcterms:modified xsi:type="dcterms:W3CDTF">2023-11-01T13:49:03Z</dcterms:modified>
</cp:coreProperties>
</file>